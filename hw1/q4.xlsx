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6840" yWindow="1840" windowWidth="22640" windowHeight="161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  <c r="E3" i="1"/>
  <c r="E2" i="1"/>
  <c r="C9" i="1"/>
  <c r="C8" i="1"/>
  <c r="C7" i="1"/>
  <c r="C6" i="1"/>
  <c r="C5" i="1"/>
  <c r="C4" i="1"/>
  <c r="C3" i="1"/>
  <c r="C2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<sst xmlns="http://schemas.openxmlformats.org/spreadsheetml/2006/main" count="13" uniqueCount="13">
  <si>
    <t>RTT/T</t>
  </si>
  <si>
    <t>RTT</t>
  </si>
  <si>
    <t>T</t>
  </si>
  <si>
    <t>cmu.edu</t>
  </si>
  <si>
    <t>cs.brown.edu</t>
  </si>
  <si>
    <t>washington.edu</t>
  </si>
  <si>
    <t>ucsd.edu</t>
  </si>
  <si>
    <t>uchicago.edu</t>
  </si>
  <si>
    <t>columbia.edu</t>
  </si>
  <si>
    <t>odu.edu</t>
  </si>
  <si>
    <t>stanford.edu</t>
  </si>
  <si>
    <t>distance (miles)</t>
  </si>
  <si>
    <t>distance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</si>
</sst>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Distance vs RTT/T</c:v>
          </c:tx>
          <c:spPr>
            <a:ln w="47625">
              <a:noFill/>
            </a:ln>
          </c:spPr>
          <c:xVal>
            <c:numRef>
              <c:f>Sheet1!$C$2:$C$9</c:f>
              <c:numCache>
                <c:formatCode>General</c:formatCode>
                <c:ptCount val="8"/>
                <c:pt idx="0">
                  <c:v>3625.84302</c:v>
                </c:pt>
                <c:pt idx="1">
                  <c:v>4303.37516</c:v>
                </c:pt>
                <c:pt idx="2">
                  <c:v>1081.47648</c:v>
                </c:pt>
                <c:pt idx="3">
                  <c:v>735.46838</c:v>
                </c:pt>
                <c:pt idx="4">
                  <c:v>2967.62296</c:v>
                </c:pt>
                <c:pt idx="5">
                  <c:v>4118.30106</c:v>
                </c:pt>
                <c:pt idx="6">
                  <c:v>4031.3967</c:v>
                </c:pt>
                <c:pt idx="7">
                  <c:v>48.2802</c:v>
                </c:pt>
              </c:numCache>
            </c:numRef>
          </c:xVal>
          <c:yVal>
            <c:numRef>
              <c:f>Sheet1!$F$2:$F$9</c:f>
              <c:numCache>
                <c:formatCode>0.00</c:formatCode>
                <c:ptCount val="8"/>
                <c:pt idx="0">
                  <c:v>6.548159936609721</c:v>
                </c:pt>
                <c:pt idx="1">
                  <c:v>6.51430539000462</c:v>
                </c:pt>
                <c:pt idx="2">
                  <c:v>6.481139562092003</c:v>
                </c:pt>
                <c:pt idx="3">
                  <c:v>5.886045026164143</c:v>
                </c:pt>
                <c:pt idx="4">
                  <c:v>10.21019193085094</c:v>
                </c:pt>
                <c:pt idx="5">
                  <c:v>6.4064767523334</c:v>
                </c:pt>
                <c:pt idx="6">
                  <c:v>6.762619019854832</c:v>
                </c:pt>
                <c:pt idx="7">
                  <c:v>30.10550909068314</c:v>
                </c:pt>
              </c:numCache>
            </c:numRef>
          </c:y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axId val="-2108527528"/>
        <c:axId val="-2112741512"/>
      </c:scatterChart>
      <c:valAx>
        <c:axId val="-2108527528"/>
        <c:scaling>
          <c:orientation val="minMax"/>
        </c:scaling>
        <c:delete val="0"/>
        <c:axPos val="b"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-2112741512"/>
        <c:crosses val="autoZero"/>
        <c:crossBetween val="midCat"/>
      </c:valAx>
      <c:valAx>
        <c:axId val="-2112741512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0.00" sourceLinked="1"/>
        <c:majorTickMark val="none"/>
        <c:minorTickMark val="none"/>
        <c:tickLblPos val="nextTo"/>
        <c:crossAx val="-21085275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685800</xdr:colOff>
      <xdr:row>3</xdr:row>
      <xdr:rowOff>31750</xdr:rowOff>
    </xdr:from>
    <xdr:to>
      <xdr:col>12</xdr:col>
      <xdr:colOff>495300</xdr:colOff>
      <xdr:row>18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showRuler="0" workbookViewId="0">
      <selection activeCell="C23" sqref="C23"/>
    </sheetView>
  </sheetViews>
  <sheetFormatPr baseColWidth="10" defaultRowHeight="15" x14ac:dyDescent="0"/>
  <cols>
    <col min="1" max="1" width="16.33203125" customWidth="1"/>
    <col min="3" max="3" width="19.33203125" customWidth="1"/>
    <col min="5" max="6" width="10.83203125" style="1"/>
  </cols>
  <sheetData>
    <row r="1" spans="1:6">
      <c r="B1" t="s">
        <v>11</v>
      </c>
      <c r="C1" t="s">
        <v>12</v>
      </c>
      <c r="D1" t="s">
        <v>1</v>
      </c>
      <c r="E1" s="1" t="s">
        <v>2</v>
      </c>
      <c r="F1" s="1" t="s">
        <v>0</v>
      </c>
    </row>
    <row r="2" spans="1:6">
      <c r="A2" t="s">
        <v>3</v>
      </c>
      <c r="B2">
        <v>2253</v>
      </c>
      <c r="C2">
        <f>B2*1609.34/1000</f>
        <v>3625.8430199999998</v>
      </c>
      <c r="D2">
        <v>79.141999999999996</v>
      </c>
      <c r="E2" s="1">
        <f>C2/(3*10^8)*1000000</f>
        <v>12.086143400000001</v>
      </c>
      <c r="F2" s="1">
        <f>D2/E2</f>
        <v>6.5481599366097205</v>
      </c>
    </row>
    <row r="3" spans="1:6">
      <c r="A3" t="s">
        <v>4</v>
      </c>
      <c r="B3">
        <v>2674</v>
      </c>
      <c r="C3">
        <f t="shared" ref="C3:C9" si="0">B3*1609.34/1000</f>
        <v>4303.3751600000005</v>
      </c>
      <c r="D3">
        <v>93.444999999999993</v>
      </c>
      <c r="E3" s="1">
        <f t="shared" ref="E3:E9" si="1">C3/(3*10^8)*1000000</f>
        <v>14.344583866666667</v>
      </c>
      <c r="F3" s="1">
        <f t="shared" ref="F3:F9" si="2">D3/E3</f>
        <v>6.5143053900046208</v>
      </c>
    </row>
    <row r="4" spans="1:6">
      <c r="A4" t="s">
        <v>5</v>
      </c>
      <c r="B4">
        <v>672</v>
      </c>
      <c r="C4">
        <f t="shared" si="0"/>
        <v>1081.47648</v>
      </c>
      <c r="D4">
        <v>23.364000000000001</v>
      </c>
      <c r="E4" s="1">
        <f t="shared" si="1"/>
        <v>3.6049215999999999</v>
      </c>
      <c r="F4" s="1">
        <f t="shared" si="2"/>
        <v>6.4811395620920029</v>
      </c>
    </row>
    <row r="5" spans="1:6">
      <c r="A5" t="s">
        <v>6</v>
      </c>
      <c r="B5">
        <v>457</v>
      </c>
      <c r="C5">
        <f t="shared" si="0"/>
        <v>735.46838000000002</v>
      </c>
      <c r="D5">
        <v>14.43</v>
      </c>
      <c r="E5" s="1">
        <f t="shared" si="1"/>
        <v>2.4515612666666668</v>
      </c>
      <c r="F5" s="1">
        <f t="shared" si="2"/>
        <v>5.886045026164143</v>
      </c>
    </row>
    <row r="6" spans="1:6">
      <c r="A6" t="s">
        <v>7</v>
      </c>
      <c r="B6">
        <v>1844</v>
      </c>
      <c r="C6">
        <f t="shared" si="0"/>
        <v>2967.6229600000001</v>
      </c>
      <c r="D6">
        <v>101</v>
      </c>
      <c r="E6" s="1">
        <f t="shared" si="1"/>
        <v>9.8920765333333343</v>
      </c>
      <c r="F6" s="1">
        <f t="shared" si="2"/>
        <v>10.210191930850945</v>
      </c>
    </row>
    <row r="7" spans="1:6">
      <c r="A7" t="s">
        <v>8</v>
      </c>
      <c r="B7">
        <v>2559</v>
      </c>
      <c r="C7">
        <f t="shared" si="0"/>
        <v>4118.3010599999998</v>
      </c>
      <c r="D7">
        <v>87.945999999999998</v>
      </c>
      <c r="E7" s="1">
        <f t="shared" si="1"/>
        <v>13.727670199999999</v>
      </c>
      <c r="F7" s="1">
        <f t="shared" si="2"/>
        <v>6.4064767523334005</v>
      </c>
    </row>
    <row r="8" spans="1:6">
      <c r="A8" t="s">
        <v>9</v>
      </c>
      <c r="B8">
        <v>2505</v>
      </c>
      <c r="C8">
        <f t="shared" si="0"/>
        <v>4031.3966999999998</v>
      </c>
      <c r="D8">
        <v>90.876000000000005</v>
      </c>
      <c r="E8" s="1">
        <f t="shared" si="1"/>
        <v>13.437988999999998</v>
      </c>
      <c r="F8" s="1">
        <f t="shared" si="2"/>
        <v>6.7626190198548324</v>
      </c>
    </row>
    <row r="9" spans="1:6">
      <c r="A9" t="s">
        <v>10</v>
      </c>
      <c r="B9">
        <v>30</v>
      </c>
      <c r="C9">
        <f t="shared" si="0"/>
        <v>48.280199999999994</v>
      </c>
      <c r="D9">
        <v>4.8449999999999998</v>
      </c>
      <c r="E9" s="1">
        <f t="shared" si="1"/>
        <v>0.16093399999999997</v>
      </c>
      <c r="F9" s="1">
        <f t="shared" si="2"/>
        <v>30.105509090683142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Apple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Tom</dc:creator>
  <cp:lastModifiedBy>Alex Tom</cp:lastModifiedBy>
  <dcterms:created xsi:type="dcterms:W3CDTF">2013-09-30T03:41:38Z</dcterms:created>
  <dcterms:modified xsi:type="dcterms:W3CDTF">2013-09-30T04:12:20Z</dcterms:modified>
</cp:coreProperties>
</file>