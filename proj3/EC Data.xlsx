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son\Documents\GitHub\ee122\proj3\"/>
    </mc:Choice>
  </mc:AlternateContent>
  <bookViews>
    <workbookView xWindow="0" yWindow="0" windowWidth="17970" windowHeight="6120" activeTab="1"/>
  </bookViews>
  <sheets>
    <sheet name="Proj 3a" sheetId="1" r:id="rId1"/>
    <sheet name="Proj 3b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F22" i="1" l="1"/>
  <c r="F21" i="1"/>
  <c r="B21" i="1"/>
  <c r="C9" i="1"/>
  <c r="C21" i="1" l="1"/>
  <c r="D21" i="1"/>
  <c r="E21" i="1"/>
  <c r="B22" i="1" l="1"/>
  <c r="C22" i="1"/>
  <c r="D22" i="1"/>
  <c r="E22" i="1"/>
</calcChain>
</file>

<file path=xl/sharedStrings.xml><?xml version="1.0" encoding="utf-8"?>
<sst xmlns="http://schemas.openxmlformats.org/spreadsheetml/2006/main" count="82" uniqueCount="82">
  <si>
    <t>time elapsed: 30minute(s)</t>
  </si>
  <si>
    <t>[(50, 32086), (100, 17158), (150, 1992), (200, 1411), (250, 466), (300, 528), (350, 248), (400, 415), (450, 490), (500, 300), (550, 113), (600, 247), (650, 234), (700, 155), (750, 85), (800, 98), (850, 67), (900, 50), (950, 127), (1000, 70), (1050, 139), (1100, 62), (1150, 48), (1200, 42), (1250, 42), (1300, 65), (1350, 44), (1400, 27), (1450, 43), (1500, 38240)]</t>
  </si>
  <si>
    <t>51-100</t>
  </si>
  <si>
    <t>101-150</t>
  </si>
  <si>
    <t>151-200</t>
  </si>
  <si>
    <t>201-250</t>
  </si>
  <si>
    <t>251-300</t>
  </si>
  <si>
    <t>301-350</t>
  </si>
  <si>
    <t>351-400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</si>
  <si>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</si>
  <si>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</si>
  <si>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</si>
  <si>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</si>
  <si>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</si>
  <si>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</si>
  <si>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</si>
  <si>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</si>
  <si>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</si>
  <si>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</si>
  <si>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</si>
  <si>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</si>
  <si>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1051-1100</t>
  </si>
  <si>
    <t>1101-1150</t>
  </si>
  <si>
    <t>1151-1200</t>
  </si>
  <si>
    <t>1201-1250</t>
  </si>
  <si>
    <t>1251-1300</t>
  </si>
  <si>
    <t>1301-1350</t>
  </si>
  <si>
    <t>1351-1400</t>
  </si>
  <si>
    <t>1401-1450</t>
  </si>
  <si>
    <t>1451-1500</t>
  </si>
  <si>
    <t>1001-1050</t>
  </si>
  <si>
    <t>1-50.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</si>
  <si>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</si>
  <si>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</si>
  <si>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</si>
  <si>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</si>
  <si>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</si>
  <si>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</si>
  <si>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</si>
  <si>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</si>
  <si>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</si>
  <si>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</si>
  <si>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</si>
  <si>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</si>
  <si>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</si>
  <si>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</si>
  <si>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</si>
  <si>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</si>
  <si>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</si>
  <si>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</si>
  <si>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</si>
  <si>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</si>
  <si>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</si>
  <si>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</si>
  <si>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</si>
  <si>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</si>
  <si>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</si>
  <si>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</si>
  <si>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</si>
  <si>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</si>
  <si>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</si>
  <si>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</si>
  <si>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http://openstaxcollege.org/files/textbook_version/low_res_pdf/12/col11487-lr.pdf</t>
  </si>
  <si>
    <t>loss rate</t>
  </si>
  <si>
    <t>Download</t>
  </si>
  <si>
    <t>bytes</t>
  </si>
  <si>
    <t>Average</t>
  </si>
  <si>
    <t>Standard Deviation</t>
  </si>
  <si>
    <t>Loss Percentage</t>
  </si>
  <si>
    <t>Total</t>
  </si>
  <si>
    <t>&lt; 1KB</t>
  </si>
  <si>
    <t>1-2KB</t>
  </si>
  <si>
    <t>2-4KB</t>
  </si>
  <si>
    <t>4-8KB</t>
  </si>
  <si>
    <t>8-16KB</t>
  </si>
  <si>
    <t>16-32KB</t>
  </si>
  <si>
    <t>32-64KB</t>
  </si>
  <si>
    <t>64-128KB</t>
  </si>
  <si>
    <t>128-256KB</t>
  </si>
  <si>
    <t>256-512KB</t>
  </si>
  <si>
    <t>512-1024KB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</si>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</sst>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17" fontId="0" fillId="0" borderId="0" xfId="0" applyNumberFormat="1"/>
    <xf numFmtId="0" fontId="0" fillId="0" borderId="0" xfId="0" applyNumberFormat="1"/>
    <xf numFmtId="0" fontId="3" fillId="0" borderId="0" xfId="2"/>
    <xf numFmtId="3" fontId="0" fillId="0" borderId="0" xfId="1" applyNumberFormat="1" applyFon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Packet Size Distribution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 3a'!$B$6</c:f>
              <c:strCache>
                <c:ptCount val="1"/>
                <c:pt idx="0">
                  <c:v>1-50.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'Proj 3a'!$B$7</c:f>
              <c:numCache>
                <c:formatCode>General</c:formatCode>
                <c:ptCount val="1"/>
                <c:pt idx="0">
                  <c:v>31610</c:v>
                </c:pt>
              </c:numCache>
            </c:numRef>
          </c:val>
        </c:ser>
        <c:ser>
          <c:idx val="1"/>
          <c:order val="1"/>
          <c:tx>
            <c:strRef>
              <c:f>'Proj 3a'!$C$6</c:f>
              <c:strCache>
                <c:ptCount val="1"/>
                <c:pt idx="0">
                  <c:v>51-100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'Proj 3a'!$C$7</c:f>
              <c:numCache>
                <c:formatCode>General</c:formatCode>
                <c:ptCount val="1"/>
                <c:pt idx="0">
                  <c:v>16448</c:v>
                </c:pt>
              </c:numCache>
            </c:numRef>
          </c:val>
        </c:ser>
        <c:ser>
          <c:idx val="2"/>
          <c:order val="2"/>
          <c:tx>
            <c:strRef>
              <c:f>'Proj 3a'!$D$6</c:f>
              <c:strCache>
                <c:ptCount val="1"/>
                <c:pt idx="0">
                  <c:v>101-150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'Proj 3a'!$D$7</c:f>
              <c:numCache>
                <c:formatCode>General</c:formatCode>
                <c:ptCount val="1"/>
                <c:pt idx="0">
                  <c:v>1871</c:v>
                </c:pt>
              </c:numCache>
            </c:numRef>
          </c:val>
        </c:ser>
        <c:ser>
          <c:idx val="3"/>
          <c:order val="3"/>
          <c:tx>
            <c:strRef>
              <c:f>'Proj 3a'!$E$6</c:f>
              <c:strCache>
                <c:ptCount val="1"/>
                <c:pt idx="0">
                  <c:v>151-200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'Proj 3a'!$E$7</c:f>
              <c:numCache>
                <c:formatCode>General</c:formatCode>
                <c:ptCount val="1"/>
                <c:pt idx="0">
                  <c:v>1211</c:v>
                </c:pt>
              </c:numCache>
            </c:numRef>
          </c:val>
        </c:ser>
        <c:ser>
          <c:idx val="4"/>
          <c:order val="4"/>
          <c:tx>
            <c:strRef>
              <c:f>'Proj 3a'!$F$6</c:f>
              <c:strCache>
                <c:ptCount val="1"/>
                <c:pt idx="0">
                  <c:v>201-250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'Proj 3a'!$F$7</c:f>
              <c:numCache>
                <c:formatCode>General</c:formatCode>
                <c:ptCount val="1"/>
                <c:pt idx="0">
                  <c:v>406</c:v>
                </c:pt>
              </c:numCache>
            </c:numRef>
          </c:val>
        </c:ser>
        <c:ser>
          <c:idx val="5"/>
          <c:order val="5"/>
          <c:tx>
            <c:strRef>
              <c:f>'Proj 3a'!$G$6</c:f>
              <c:strCache>
                <c:ptCount val="1"/>
                <c:pt idx="0">
                  <c:v>251-300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'Proj 3a'!$G$7</c:f>
              <c:numCache>
                <c:formatCode>General</c:formatCode>
                <c:ptCount val="1"/>
                <c:pt idx="0">
                  <c:v>489</c:v>
                </c:pt>
              </c:numCache>
            </c:numRef>
          </c:val>
        </c:ser>
        <c:ser>
          <c:idx val="6"/>
          <c:order val="6"/>
          <c:tx>
            <c:strRef>
              <c:f>'Proj 3a'!$H$6</c:f>
              <c:strCache>
                <c:ptCount val="1"/>
                <c:pt idx="0">
                  <c:v>301-350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3a'!$H$7</c:f>
              <c:numCache>
                <c:formatCode>General</c:formatCode>
                <c:ptCount val="1"/>
                <c:pt idx="0">
                  <c:v>271</c:v>
                </c:pt>
              </c:numCache>
            </c:numRef>
          </c:val>
        </c:ser>
        <c:ser>
          <c:idx val="7"/>
          <c:order val="7"/>
          <c:tx>
            <c:strRef>
              <c:f>'Proj 3a'!$I$6</c:f>
              <c:strCache>
                <c:ptCount val="1"/>
                <c:pt idx="0">
                  <c:v>351-400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3a'!$I$7</c:f>
              <c:numCache>
                <c:formatCode>General</c:formatCode>
                <c:ptCount val="1"/>
                <c:pt idx="0">
                  <c:v>405</c:v>
                </c:pt>
              </c:numCache>
            </c:numRef>
          </c:val>
        </c:ser>
        <c:ser>
          <c:idx val="8"/>
          <c:order val="8"/>
          <c:tx>
            <c:strRef>
              <c:f>'Proj 3a'!$J$6</c:f>
              <c:strCache>
                <c:ptCount val="1"/>
                <c:pt idx="0">
                  <c:v>401-450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3a'!$J$7</c:f>
              <c:numCache>
                <c:formatCode>General</c:formatCode>
                <c:ptCount val="1"/>
                <c:pt idx="0">
                  <c:v>467</c:v>
                </c:pt>
              </c:numCache>
            </c:numRef>
          </c:val>
        </c:ser>
        <c:ser>
          <c:idx val="9"/>
          <c:order val="9"/>
          <c:tx>
            <c:strRef>
              <c:f>'Proj 3a'!$K$6</c:f>
              <c:strCache>
                <c:ptCount val="1"/>
                <c:pt idx="0">
                  <c:v>451-500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3a'!$K$7</c:f>
              <c:numCache>
                <c:formatCode>General</c:formatCode>
                <c:ptCount val="1"/>
                <c:pt idx="0">
                  <c:v>302</c:v>
                </c:pt>
              </c:numCache>
            </c:numRef>
          </c:val>
        </c:ser>
        <c:ser>
          <c:idx val="10"/>
          <c:order val="10"/>
          <c:tx>
            <c:strRef>
              <c:f>'Proj 3a'!$L$6</c:f>
              <c:strCache>
                <c:ptCount val="1"/>
                <c:pt idx="0">
                  <c:v>501-550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3a'!$L$7</c:f>
              <c:numCache>
                <c:formatCode>General</c:formatCode>
                <c:ptCount val="1"/>
                <c:pt idx="0">
                  <c:v>128</c:v>
                </c:pt>
              </c:numCache>
            </c:numRef>
          </c:val>
        </c:ser>
        <c:ser>
          <c:idx val="11"/>
          <c:order val="11"/>
          <c:tx>
            <c:strRef>
              <c:f>'Proj 3a'!$M$6</c:f>
              <c:strCache>
                <c:ptCount val="1"/>
                <c:pt idx="0">
                  <c:v>551-600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3a'!$M$7</c:f>
              <c:numCache>
                <c:formatCode>General</c:formatCode>
                <c:ptCount val="1"/>
                <c:pt idx="0">
                  <c:v>269</c:v>
                </c:pt>
              </c:numCache>
            </c:numRef>
          </c:val>
        </c:ser>
        <c:ser>
          <c:idx val="12"/>
          <c:order val="12"/>
          <c:tx>
            <c:strRef>
              <c:f>'Proj 3a'!$N$6</c:f>
              <c:strCache>
                <c:ptCount val="1"/>
                <c:pt idx="0">
                  <c:v>601-650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3a'!$N$7</c:f>
              <c:numCache>
                <c:formatCode>General</c:formatCode>
                <c:ptCount val="1"/>
                <c:pt idx="0">
                  <c:v>238</c:v>
                </c:pt>
              </c:numCache>
            </c:numRef>
          </c:val>
        </c:ser>
        <c:ser>
          <c:idx val="13"/>
          <c:order val="13"/>
          <c:tx>
            <c:strRef>
              <c:f>'Proj 3a'!$O$6</c:f>
              <c:strCache>
                <c:ptCount val="1"/>
                <c:pt idx="0">
                  <c:v>651-700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3a'!$O$7</c:f>
              <c:numCache>
                <c:formatCode>General</c:formatCode>
                <c:ptCount val="1"/>
                <c:pt idx="0">
                  <c:v>145</c:v>
                </c:pt>
              </c:numCache>
            </c:numRef>
          </c:val>
        </c:ser>
        <c:ser>
          <c:idx val="14"/>
          <c:order val="14"/>
          <c:tx>
            <c:strRef>
              <c:f>'Proj 3a'!$P$6</c:f>
              <c:strCache>
                <c:ptCount val="1"/>
                <c:pt idx="0">
                  <c:v>701-750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3a'!$P$7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</c:ser>
        <c:ser>
          <c:idx val="15"/>
          <c:order val="15"/>
          <c:tx>
            <c:strRef>
              <c:f>'Proj 3a'!$Q$6</c:f>
              <c:strCache>
                <c:ptCount val="1"/>
                <c:pt idx="0">
                  <c:v>751-800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3a'!$Q$7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</c:ser>
        <c:ser>
          <c:idx val="16"/>
          <c:order val="16"/>
          <c:tx>
            <c:strRef>
              <c:f>'Proj 3a'!$R$6</c:f>
              <c:strCache>
                <c:ptCount val="1"/>
                <c:pt idx="0">
                  <c:v>801-850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3a'!$R$7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</c:ser>
        <c:ser>
          <c:idx val="17"/>
          <c:order val="17"/>
          <c:tx>
            <c:strRef>
              <c:f>'Proj 3a'!$S$6</c:f>
              <c:strCache>
                <c:ptCount val="1"/>
                <c:pt idx="0">
                  <c:v>851-900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3a'!$S$7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</c:ser>
        <c:ser>
          <c:idx val="18"/>
          <c:order val="18"/>
          <c:tx>
            <c:strRef>
              <c:f>'Proj 3a'!$T$6</c:f>
              <c:strCache>
                <c:ptCount val="1"/>
                <c:pt idx="0">
                  <c:v>901-950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3a'!$T$7</c:f>
              <c:numCache>
                <c:formatCode>General</c:formatCode>
                <c:ptCount val="1"/>
                <c:pt idx="0">
                  <c:v>127</c:v>
                </c:pt>
              </c:numCache>
            </c:numRef>
          </c:val>
        </c:ser>
        <c:ser>
          <c:idx val="19"/>
          <c:order val="19"/>
          <c:tx>
            <c:strRef>
              <c:f>'Proj 3a'!$U$6</c:f>
              <c:strCache>
                <c:ptCount val="1"/>
                <c:pt idx="0">
                  <c:v>951-1000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3a'!$U$7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</c:ser>
        <c:ser>
          <c:idx val="20"/>
          <c:order val="20"/>
          <c:tx>
            <c:strRef>
              <c:f>'Proj 3a'!$V$6</c:f>
              <c:strCache>
                <c:ptCount val="1"/>
                <c:pt idx="0">
                  <c:v>1001-1050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3a'!$V$7</c:f>
              <c:numCache>
                <c:formatCode>General</c:formatCode>
                <c:ptCount val="1"/>
                <c:pt idx="0">
                  <c:v>109</c:v>
                </c:pt>
              </c:numCache>
            </c:numRef>
          </c:val>
        </c:ser>
        <c:ser>
          <c:idx val="21"/>
          <c:order val="21"/>
          <c:tx>
            <c:strRef>
              <c:f>'Proj 3a'!$W$6</c:f>
              <c:strCache>
                <c:ptCount val="1"/>
                <c:pt idx="0">
                  <c:v>1051-1100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3a'!$W$7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</c:ser>
        <c:ser>
          <c:idx val="22"/>
          <c:order val="22"/>
          <c:tx>
            <c:strRef>
              <c:f>'Proj 3a'!$X$6</c:f>
              <c:strCache>
                <c:ptCount val="1"/>
                <c:pt idx="0">
                  <c:v>1101-1150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3a'!$X$7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</c:ser>
        <c:ser>
          <c:idx val="23"/>
          <c:order val="23"/>
          <c:tx>
            <c:strRef>
              <c:f>'Proj 3a'!$Y$6</c:f>
              <c:strCache>
                <c:ptCount val="1"/>
                <c:pt idx="0">
                  <c:v>1151-1200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3a'!$Y$7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</c:ser>
        <c:ser>
          <c:idx val="24"/>
          <c:order val="24"/>
          <c:tx>
            <c:strRef>
              <c:f>'Proj 3a'!$Z$6</c:f>
              <c:strCache>
                <c:ptCount val="1"/>
                <c:pt idx="0">
                  <c:v>1201-1250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3a'!$Z$7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</c:ser>
        <c:ser>
          <c:idx val="25"/>
          <c:order val="25"/>
          <c:tx>
            <c:strRef>
              <c:f>'Proj 3a'!$AA$6</c:f>
              <c:strCache>
                <c:ptCount val="1"/>
                <c:pt idx="0">
                  <c:v>1251-1300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3a'!$AA$7</c:f>
              <c:numCache>
                <c:formatCode>General</c:formatCode>
                <c:ptCount val="1"/>
                <c:pt idx="0">
                  <c:v>71</c:v>
                </c:pt>
              </c:numCache>
            </c:numRef>
          </c:val>
        </c:ser>
        <c:ser>
          <c:idx val="26"/>
          <c:order val="26"/>
          <c:tx>
            <c:strRef>
              <c:f>'Proj 3a'!$AB$6</c:f>
              <c:strCache>
                <c:ptCount val="1"/>
                <c:pt idx="0">
                  <c:v>1301-1350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3a'!$AB$7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</c:ser>
        <c:ser>
          <c:idx val="27"/>
          <c:order val="27"/>
          <c:tx>
            <c:strRef>
              <c:f>'Proj 3a'!$AC$6</c:f>
              <c:strCache>
                <c:ptCount val="1"/>
                <c:pt idx="0">
                  <c:v>1351-1400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3a'!$AC$7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</c:ser>
        <c:ser>
          <c:idx val="28"/>
          <c:order val="28"/>
          <c:tx>
            <c:strRef>
              <c:f>'Proj 3a'!$AD$6</c:f>
              <c:strCache>
                <c:ptCount val="1"/>
                <c:pt idx="0">
                  <c:v>1401-1450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3a'!$AD$7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</c:ser>
        <c:ser>
          <c:idx val="29"/>
          <c:order val="29"/>
          <c:tx>
            <c:strRef>
              <c:f>'Proj 3a'!$AE$6</c:f>
              <c:strCache>
                <c:ptCount val="1"/>
                <c:pt idx="0">
                  <c:v>1451-1500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'Proj 3a'!$AE$7</c:f>
              <c:numCache>
                <c:formatCode>General</c:formatCode>
                <c:ptCount val="1"/>
                <c:pt idx="0">
                  <c:v>37399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812255328"/>
        <c:axId val="-812263488"/>
      </c:barChart>
      <c:catAx>
        <c:axId val="-812255328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-812263488"/>
        <c:crosses val="autoZero"/>
        <c:auto val="1"/>
        <c:lblAlgn val="ctr"/>
        <c:lblOffset val="100"/>
        <c:noMultiLvlLbl val="0"/>
      </c:catAx>
      <c:valAx>
        <c:axId val="-812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Packets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12255328"/>
        <c:crosses val="autoZero"/>
        <c:crossBetween val="between"/>
      </c:valAx>
      <c:spPr>
        <a:noFill/>
        <a:ln>
          <a:noFill/>
        </a:ln>
        <a:effectLst/>
        <a:sp3d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Simulation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 3a'!$A$21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'Proj 3a'!$B$22:$F$22</c:f>
                <c:numCache>
                  <c:formatCode>General</c:formatCode>
                  <c:ptCount val="5"/>
                  <c:pt idx="0">
                    <c:v>23.098766200816794</c:v>
                  </c:pt>
                  <c:pt idx="1">
                    <c:v>4.1593268686170859</c:v>
                  </c:pt>
                  <c:pt idx="2">
                    <c:v>7.7609922046088942</c:v>
                  </c:pt>
                  <c:pt idx="3">
                    <c:v>2.2333830840229809</c:v>
                  </c:pt>
                  <c:pt idx="4">
                    <c:v>1.0119634380747164</c:v>
                  </c:pt>
                </c:numCache>
              </c:numRef>
            </c:plus>
            <c:minus>
              <c:numRef>
                <c:f>'Proj 3a'!$B$22:$F$22</c:f>
                <c:numCache>
                  <c:formatCode>General</c:formatCode>
                  <c:ptCount val="5"/>
                  <c:pt idx="0">
                    <c:v>23.098766200816794</c:v>
                  </c:pt>
                  <c:pt idx="1">
                    <c:v>4.1593268686170859</c:v>
                  </c:pt>
                  <c:pt idx="2">
                    <c:v>7.7609922046088942</c:v>
                  </c:pt>
                  <c:pt idx="3">
                    <c:v>2.2333830840229809</c:v>
                  </c:pt>
                  <c:pt idx="4">
                    <c:v>1.0119634380747164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'Proj 3a'!$B$20:$F$20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</c:numCache>
            </c:numRef>
          </c:cat>
          <c:val>
            <c:numRef>
              <c:f>'Proj 3a'!$B$21:$F$21</c:f>
              <c:numCache>
                <c:formatCode>0</c:formatCode>
                <c:ptCount val="5"/>
                <c:pt idx="0">
                  <c:v>120.54</c:v>
                </c:pt>
                <c:pt idx="1">
                  <c:v>86.5</c:v>
                </c:pt>
                <c:pt idx="2">
                  <c:v>78.259999999999991</c:v>
                </c:pt>
                <c:pt idx="3">
                  <c:v>38.46</c:v>
                </c:pt>
                <c:pt idx="4">
                  <c:v>9.0719999999999992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12265120"/>
        <c:axId val="-812261856"/>
      </c:barChart>
      <c:catAx>
        <c:axId val="-81226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 Percentage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12261856"/>
        <c:crosses val="autoZero"/>
        <c:auto val="1"/>
        <c:lblAlgn val="ctr"/>
        <c:lblOffset val="100"/>
        <c:noMultiLvlLbl val="0"/>
      </c:catAx>
      <c:valAx>
        <c:axId val="-8122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TCP</a:t>
                </a:r>
                <a:r>
                  <a:rPr lang="en-US" baseline="0"/>
                  <a:t> Throughput (KB/s)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1226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HTTP Object Size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'Proj 3b'!$A$1:$K$1</c:f>
              <c:strCache>
                <c:ptCount val="11"/>
                <c:pt idx="0">
                  <c:v>&lt; 1KB</c:v>
                </c:pt>
                <c:pt idx="1">
                  <c:v>1-2KB</c:v>
                </c:pt>
                <c:pt idx="2">
                  <c:v>2-4KB</c:v>
                </c:pt>
                <c:pt idx="3">
                  <c:v>4-8KB</c:v>
                </c:pt>
                <c:pt idx="4">
                  <c:v>8-16KB</c:v>
                </c:pt>
                <c:pt idx="5">
                  <c:v>16-32KB</c:v>
                </c:pt>
                <c:pt idx="6">
                  <c:v>32-64KB</c:v>
                </c:pt>
                <c:pt idx="7">
                  <c:v>64-128KB</c:v>
                </c:pt>
                <c:pt idx="8">
                  <c:v>128-256KB</c:v>
                </c:pt>
                <c:pt idx="9">
                  <c:v>256-512KB</c:v>
                </c:pt>
                <c:pt idx="10">
                  <c:v>512-1024KB</c:v>
                </c:pt>
              </c:strCache>
            </c:strRef>
          </c:cat>
          <c:val>
            <c:numRef>
              <c:f>'Proj 3b'!$A$2:$K$2</c:f>
              <c:numCache>
                <c:formatCode>General</c:formatCode>
                <c:ptCount val="11"/>
                <c:pt idx="0">
                  <c:v>769</c:v>
                </c:pt>
                <c:pt idx="1">
                  <c:v>1987</c:v>
                </c:pt>
                <c:pt idx="2">
                  <c:v>984</c:v>
                </c:pt>
                <c:pt idx="3">
                  <c:v>1350</c:v>
                </c:pt>
                <c:pt idx="4">
                  <c:v>2287</c:v>
                </c:pt>
                <c:pt idx="5">
                  <c:v>1876</c:v>
                </c:pt>
                <c:pt idx="6">
                  <c:v>1773</c:v>
                </c:pt>
                <c:pt idx="7">
                  <c:v>1128</c:v>
                </c:pt>
                <c:pt idx="8">
                  <c:v>695</c:v>
                </c:pt>
                <c:pt idx="9">
                  <c:v>126</c:v>
                </c:pt>
                <c:pt idx="10">
                  <c:v>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-729605504"/>
        <c:axId val="-729604960"/>
      </c:barChart>
      <c:catAx>
        <c:axId val="-72960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(KB)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29604960"/>
        <c:crosses val="autoZero"/>
        <c:auto val="0"/>
        <c:lblAlgn val="ctr"/>
        <c:lblOffset val="100"/>
        <c:noMultiLvlLbl val="0"/>
      </c:catAx>
      <c:valAx>
        <c:axId val="-72960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2960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428624</xdr:colOff>
      <xdr:row>8</xdr:row>
      <xdr:rowOff>61912</xdr:rowOff>
    </xdr:from>
    <xdr:to>
      <xdr:col>28</xdr:col>
      <xdr:colOff>361949</xdr:colOff>
      <xdr:row>23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604837</xdr:colOff>
      <xdr:row>22</xdr:row>
      <xdr:rowOff>157162</xdr:rowOff>
    </xdr:from>
    <xdr:to>
      <xdr:col>10</xdr:col>
      <xdr:colOff>776287</xdr:colOff>
      <xdr:row>37</xdr:row>
      <xdr:rowOff>42862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714374</xdr:colOff>
      <xdr:row>8</xdr:row>
      <xdr:rowOff>61912</xdr:rowOff>
    </xdr:from>
    <xdr:to>
      <xdr:col>18</xdr:col>
      <xdr:colOff>38100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5:AE7" totalsRowShown="0">
  <autoFilter ref="B5:AE7"/>
  <tableColumns count="30">
    <tableColumn id="1" name="Column1"/>
    <tableColumn id="2" name="Column2" dataDxfId="0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enstaxcollege.org/files/textbook_version/low_res_pdf/12/col11487-lr.pdf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workbookViewId="0">
      <selection activeCell="L21" sqref="L21"/>
    </sheetView>
  </sheetViews>
  <sheetFormatPr defaultRowHeight="15" x14ac:dyDescent="0.25"/>
  <cols>
    <col min="1" max="1" width="12.5703125" customWidth="1"/>
    <col min="2" max="10" width="11" customWidth="1"/>
    <col min="11" max="31" width="12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5" spans="1:31" x14ac:dyDescent="0.25">
      <c r="A5" s="3"/>
      <c r="B5" s="2" t="s">
        <v>32</v>
      </c>
      <c r="C5" s="3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s="2" t="s">
        <v>52</v>
      </c>
      <c r="W5" s="3" t="s">
        <v>53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</row>
    <row r="6" spans="1:31" x14ac:dyDescent="0.25">
      <c r="A6" s="3"/>
      <c r="B6" s="2" t="s">
        <v>31</v>
      </c>
      <c r="C6" s="3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s="2" t="s">
        <v>30</v>
      </c>
      <c r="W6" s="3" t="s">
        <v>21</v>
      </c>
      <c r="X6" t="s">
        <v>22</v>
      </c>
      <c r="Y6" t="s">
        <v>23</v>
      </c>
      <c r="Z6" t="s">
        <v>24</v>
      </c>
      <c r="AA6" t="s">
        <v>25</v>
      </c>
      <c r="AB6" t="s">
        <v>26</v>
      </c>
      <c r="AC6" t="s">
        <v>27</v>
      </c>
      <c r="AD6" t="s">
        <v>28</v>
      </c>
      <c r="AE6" t="s">
        <v>29</v>
      </c>
    </row>
    <row r="7" spans="1:31" x14ac:dyDescent="0.25">
      <c r="B7">
        <v>31610</v>
      </c>
      <c r="C7" s="3">
        <v>16448</v>
      </c>
      <c r="D7">
        <v>1871</v>
      </c>
      <c r="E7">
        <v>1211</v>
      </c>
      <c r="F7">
        <v>406</v>
      </c>
      <c r="G7">
        <v>489</v>
      </c>
      <c r="H7">
        <v>271</v>
      </c>
      <c r="I7">
        <v>405</v>
      </c>
      <c r="J7">
        <v>467</v>
      </c>
      <c r="K7">
        <v>302</v>
      </c>
      <c r="L7">
        <v>128</v>
      </c>
      <c r="M7">
        <v>269</v>
      </c>
      <c r="N7">
        <v>238</v>
      </c>
      <c r="O7">
        <v>145</v>
      </c>
      <c r="P7">
        <v>82</v>
      </c>
      <c r="Q7">
        <v>96</v>
      </c>
      <c r="R7">
        <v>67</v>
      </c>
      <c r="S7">
        <v>50</v>
      </c>
      <c r="T7">
        <v>127</v>
      </c>
      <c r="U7">
        <v>70</v>
      </c>
      <c r="V7">
        <v>109</v>
      </c>
      <c r="W7">
        <v>62</v>
      </c>
      <c r="X7">
        <v>48</v>
      </c>
      <c r="Y7">
        <v>42</v>
      </c>
      <c r="Z7">
        <v>42</v>
      </c>
      <c r="AA7">
        <v>71</v>
      </c>
      <c r="AB7">
        <v>44</v>
      </c>
      <c r="AC7">
        <v>27</v>
      </c>
      <c r="AD7">
        <v>43</v>
      </c>
      <c r="AE7">
        <v>37399</v>
      </c>
    </row>
    <row r="9" spans="1:31" x14ac:dyDescent="0.25">
      <c r="B9" t="s">
        <v>69</v>
      </c>
      <c r="C9">
        <f>SUM(B7:AE7)</f>
        <v>92639</v>
      </c>
    </row>
    <row r="11" spans="1:31" x14ac:dyDescent="0.25">
      <c r="B11" s="4" t="s">
        <v>62</v>
      </c>
    </row>
    <row r="12" spans="1:31" x14ac:dyDescent="0.25">
      <c r="B12" s="5">
        <v>24048191</v>
      </c>
      <c r="C12" t="s">
        <v>65</v>
      </c>
    </row>
    <row r="13" spans="1:31" x14ac:dyDescent="0.25">
      <c r="B13" t="s">
        <v>63</v>
      </c>
    </row>
    <row r="14" spans="1:31" x14ac:dyDescent="0.25">
      <c r="A14" t="s">
        <v>64</v>
      </c>
    </row>
    <row r="15" spans="1:31" x14ac:dyDescent="0.25">
      <c r="A15">
        <v>1</v>
      </c>
      <c r="B15" s="8">
        <v>113</v>
      </c>
      <c r="C15">
        <v>85.1</v>
      </c>
      <c r="D15">
        <v>74.3</v>
      </c>
      <c r="E15">
        <v>38.299999999999997</v>
      </c>
      <c r="F15">
        <v>8.49</v>
      </c>
      <c r="I15" s="6"/>
      <c r="K15" s="6"/>
      <c r="L15" s="6"/>
      <c r="O15" s="6"/>
      <c r="Q15" s="6"/>
      <c r="R15" s="6"/>
    </row>
    <row r="16" spans="1:31" x14ac:dyDescent="0.25">
      <c r="A16">
        <v>2</v>
      </c>
      <c r="B16" s="8">
        <v>105.3</v>
      </c>
      <c r="C16">
        <v>83.7</v>
      </c>
      <c r="D16" s="8">
        <v>78.7</v>
      </c>
      <c r="E16">
        <v>38.1</v>
      </c>
      <c r="F16">
        <v>8.9600000000000009</v>
      </c>
      <c r="I16" s="6"/>
      <c r="K16" s="6"/>
      <c r="L16" s="6"/>
      <c r="O16" s="6"/>
      <c r="Q16" s="6"/>
      <c r="R16" s="6"/>
    </row>
    <row r="17" spans="1:18" x14ac:dyDescent="0.25">
      <c r="A17">
        <v>3</v>
      </c>
      <c r="B17" s="8">
        <v>98.7</v>
      </c>
      <c r="C17">
        <v>82.3</v>
      </c>
      <c r="D17" s="8">
        <v>71.7</v>
      </c>
      <c r="E17" s="8">
        <v>35.1</v>
      </c>
      <c r="F17">
        <v>8.2200000000000006</v>
      </c>
      <c r="I17" s="6"/>
      <c r="K17" s="6"/>
      <c r="L17" s="6"/>
      <c r="O17" s="6"/>
      <c r="Q17" s="6"/>
      <c r="R17" s="6"/>
    </row>
    <row r="18" spans="1:18" x14ac:dyDescent="0.25">
      <c r="A18">
        <v>4</v>
      </c>
      <c r="B18" s="8">
        <v>129.19999999999999</v>
      </c>
      <c r="C18">
        <v>92.5</v>
      </c>
      <c r="D18" s="8">
        <v>75.2</v>
      </c>
      <c r="E18" s="8">
        <v>41.1</v>
      </c>
      <c r="F18">
        <v>8.89</v>
      </c>
      <c r="I18" s="6"/>
      <c r="K18" s="6"/>
      <c r="L18" s="6"/>
      <c r="O18" s="6"/>
      <c r="Q18" s="6"/>
      <c r="R18" s="6"/>
    </row>
    <row r="19" spans="1:18" x14ac:dyDescent="0.25">
      <c r="A19">
        <v>5</v>
      </c>
      <c r="B19" s="8">
        <v>156.5</v>
      </c>
      <c r="C19">
        <v>88.9</v>
      </c>
      <c r="D19" s="8">
        <v>91.4</v>
      </c>
      <c r="E19" s="8">
        <v>39.700000000000003</v>
      </c>
      <c r="F19" s="8">
        <v>10.8</v>
      </c>
      <c r="I19" s="6"/>
      <c r="K19" s="6"/>
      <c r="L19" s="6"/>
      <c r="O19" s="6"/>
      <c r="Q19" s="6"/>
      <c r="R19" s="6"/>
    </row>
    <row r="20" spans="1:18" ht="30" x14ac:dyDescent="0.25">
      <c r="A20" s="7" t="s">
        <v>68</v>
      </c>
      <c r="B20">
        <v>0</v>
      </c>
      <c r="C20">
        <v>1</v>
      </c>
      <c r="D20">
        <v>3</v>
      </c>
      <c r="E20">
        <v>5</v>
      </c>
      <c r="F20">
        <v>10</v>
      </c>
    </row>
    <row r="21" spans="1:18" ht="29.25" customHeight="1" x14ac:dyDescent="0.25">
      <c r="A21" t="s">
        <v>66</v>
      </c>
      <c r="B21" s="6">
        <f>AVERAGE(B15:B19)</f>
        <v>120.54</v>
      </c>
      <c r="C21" s="6">
        <f>AVERAGE(C15:C19)</f>
        <v>86.5</v>
      </c>
      <c r="D21" s="6">
        <f>AVERAGE(D15:D19)</f>
        <v>78.259999999999991</v>
      </c>
      <c r="E21" s="6">
        <f>AVERAGE(E15:E19)</f>
        <v>38.46</v>
      </c>
      <c r="F21" s="6">
        <f>AVERAGE(F15:F19)</f>
        <v>9.0719999999999992</v>
      </c>
    </row>
    <row r="22" spans="1:18" ht="30" x14ac:dyDescent="0.25">
      <c r="A22" s="7" t="s">
        <v>67</v>
      </c>
      <c r="B22" s="6">
        <f>STDEVA(B15:B19)</f>
        <v>23.098766200816794</v>
      </c>
      <c r="C22" s="6">
        <f>STDEVA(C15:C19)</f>
        <v>4.1593268686170859</v>
      </c>
      <c r="D22" s="6">
        <f>STDEVA(D15:D19)</f>
        <v>7.7609922046088942</v>
      </c>
      <c r="E22" s="6">
        <f>STDEVA(E15:E19)</f>
        <v>2.2333830840229809</v>
      </c>
      <c r="F22" s="6">
        <f>STDEVA(F15:F19)</f>
        <v>1.0119634380747164</v>
      </c>
    </row>
  </sheetData>
  <hyperlinks>
    <hyperlink ref="B11" r:id="rId1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A5" sqref="A5"/>
    </sheetView>
  </sheetViews>
  <sheetFormatPr defaultRowHeight="15" x14ac:dyDescent="0.25"/>
  <cols>
    <col min="1" max="11" width="11.28515625" customWidth="1"/>
  </cols>
  <sheetData>
    <row r="1" spans="1:11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 x14ac:dyDescent="0.25">
      <c r="A2">
        <v>769</v>
      </c>
      <c r="B2">
        <v>1987</v>
      </c>
      <c r="C2">
        <v>984</v>
      </c>
      <c r="D2">
        <v>1350</v>
      </c>
      <c r="E2">
        <v>2287</v>
      </c>
      <c r="F2">
        <v>1876</v>
      </c>
      <c r="G2">
        <v>1773</v>
      </c>
      <c r="H2">
        <v>1128</v>
      </c>
      <c r="I2">
        <v>695</v>
      </c>
      <c r="J2">
        <v>126</v>
      </c>
      <c r="K2">
        <v>138</v>
      </c>
    </row>
    <row r="4" spans="1:11" x14ac:dyDescent="0.25">
      <c r="A4" t="s">
        <v>81</v>
      </c>
      <c r="B4">
        <f>SUM(A2:K2)</f>
        <v>13113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 3a</vt:lpstr>
      <vt:lpstr>Proj 3b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Jia</dc:creator>
  <cp:lastModifiedBy>Jason Jia</cp:lastModifiedBy>
  <dcterms:created xsi:type="dcterms:W3CDTF">2013-11-17T15:53:29Z</dcterms:created>
  <dcterms:modified xsi:type="dcterms:W3CDTF">2013-12-09T02:11:45Z</dcterms:modified>
</cp:coreProperties>
</file>